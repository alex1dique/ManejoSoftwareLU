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1dique\Documents\parcial_2\"/>
    </mc:Choice>
  </mc:AlternateContent>
  <xr:revisionPtr revIDLastSave="0" documentId="13_ncr:1_{2A1B6CDB-1489-4D59-8EFB-1263E16A7D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_enero" sheetId="1" r:id="rId1"/>
    <sheet name="propiedades" sheetId="4" r:id="rId2"/>
    <sheet name="Hoja1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3" i="1"/>
  <c r="E17" i="1"/>
  <c r="B17" i="1"/>
  <c r="C17" i="1"/>
  <c r="D17" i="1"/>
  <c r="F1" i="1"/>
  <c r="F18" i="1"/>
  <c r="H20" i="1"/>
  <c r="D3" i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<sst xmlns="http://schemas.openxmlformats.org/spreadsheetml/2006/main" count="22" uniqueCount="22">
  <si>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</si>
  <si>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</si>
  <si>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</si>
  <si>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</si>
  <si>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</si>
  <si>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</si>
  <si>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</si>
  <si>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</si>
  <si>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</si>
  <si>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</si>
  <si>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</si>
  <si>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</si>
  <si>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</si>
  <si>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</si>
  <si>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</si>
  <si>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</si>
  <si>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</si>
  <si>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</si>
  <si>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</si>
  <si>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</si>
  <si>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IVA</t>
  </si>
  <si>
    <t>Total 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</si>
</sst>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sz val="12"/>
      <color indexed="39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49" fontId="0" fillId="5" borderId="4" xfId="0" applyNumberFormat="1" applyFon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on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 applyFont="1"/>
    <xf numFmtId="164" fontId="3" fillId="2" borderId="16" xfId="0" applyNumberFormat="1" applyFont="1" applyFill="1" applyBorder="1" applyAlignment="1">
      <alignment horizontal="center" vertical="center"/>
    </xf>
    <xf numFmtId="10" fontId="3" fillId="2" borderId="1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exels.com/es-es/foto/perro-indio-verse-triste-perro-callejero-4047859/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9</xdr:col>
          <xdr:colOff>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SV" sz="1200" b="0" i="0" u="none" strike="noStrike" baseline="0">
                  <a:solidFill>
                    <a:srgbClr val="0000FF"/>
                  </a:solidFill>
                  <a:latin typeface="Arial Black"/>
                </a:rPr>
                <a:t>SUMA COLUMNA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50253</xdr:colOff>
      <xdr:row>4</xdr:row>
      <xdr:rowOff>55789</xdr:rowOff>
    </xdr:from>
    <xdr:to>
      <xdr:col>8</xdr:col>
      <xdr:colOff>295274</xdr:colOff>
      <xdr:row>10</xdr:row>
      <xdr:rowOff>88446</xdr:rowOff>
    </xdr:to>
    <xdr:pic macro="[1]!SUMA2">
      <xdr:nvPicPr>
        <xdr:cNvPr id="2" name="Imagen 1" descr="Itachi png imágenes | PNGWing">
          <a:extLst>
            <a:ext uri="{FF2B5EF4-FFF2-40B4-BE49-F238E27FC236}">
              <a16:creationId xmlns:a16="http://schemas.microsoft.com/office/drawing/2014/main" id="{69DB7556-D6D6-DD37-C908-ECCEAFB7A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8378" y="846364"/>
          <a:ext cx="1007021" cy="117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742950</xdr:colOff>
      <xdr:row>12</xdr:row>
      <xdr:rowOff>19050</xdr:rowOff>
    </xdr:from>
    <xdr:to>
      <xdr:col>8</xdr:col>
      <xdr:colOff>409575</xdr:colOff>
      <xdr:row>15</xdr:row>
      <xdr:rowOff>85725</xdr:rowOff>
    </xdr:to>
    <xdr:sp macro="[1]!TOTAL_CON_IV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354B7ED-EE55-162E-A088-2EAA2B7AFB20}"/>
            </a:ext>
          </a:extLst>
        </xdr:cNvPr>
        <xdr:cNvSpPr/>
      </xdr:nvSpPr>
      <xdr:spPr>
        <a:xfrm>
          <a:off x="7839075" y="2333625"/>
          <a:ext cx="1190625" cy="647700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  <a:p>
          <a:pPr algn="l"/>
          <a:r>
            <a:rPr lang="es-SV" sz="1100"/>
            <a:t>SUMA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suma"/>
      <definedName name="SUMA2"/>
      <definedName name="TOTAL_CON_IV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0"/>
  <sheetViews>
    <sheetView tabSelected="1" zoomScaleNormal="100" workbookViewId="0">
      <selection activeCell="E19" sqref="E19"/>
    </sheetView>
  </sheetViews>
  <sheetFormatPr baseColWidth="10" defaultRowHeight="15" x14ac:dyDescent="0.25"/>
  <cols>
    <col min="1" max="1" width="33" style="2" customWidth="1"/>
    <col min="2" max="2" width="16.85546875" style="2" customWidth="1"/>
    <col min="3" max="4" width="16.85546875" style="27" customWidth="1"/>
    <col min="5" max="5" width="13.5703125" style="2" customWidth="1"/>
    <col min="6" max="16384" width="11.42578125" style="2"/>
  </cols>
  <sheetData>
    <row r="1" spans="1:7" ht="15.75" thickBot="1" x14ac:dyDescent="0.3">
      <c r="A1" s="15" t="s">
        <v>16</v>
      </c>
      <c r="B1" s="11" t="s">
        <v>17</v>
      </c>
      <c r="C1" s="22"/>
      <c r="D1" s="22"/>
      <c r="F1" s="2">
        <f>D1*$B$19*C1</f>
        <v>0</v>
      </c>
    </row>
    <row r="2" spans="1:7" ht="15.75" thickBot="1" x14ac:dyDescent="0.3">
      <c r="A2" s="12" t="s">
        <v>0</v>
      </c>
      <c r="B2" s="13" t="s">
        <v>1</v>
      </c>
      <c r="C2" s="23" t="s">
        <v>18</v>
      </c>
      <c r="D2" s="23" t="s">
        <v>19</v>
      </c>
      <c r="E2" s="23" t="s">
        <v>21</v>
      </c>
    </row>
    <row r="3" spans="1:7" ht="15.75" thickTop="1" x14ac:dyDescent="0.25">
      <c r="A3" s="8" t="s">
        <v>3</v>
      </c>
      <c r="B3" s="9">
        <v>124</v>
      </c>
      <c r="C3" s="24">
        <v>0.14000000000000001</v>
      </c>
      <c r="D3" s="24">
        <f>B3*C3</f>
        <v>17.360000000000003</v>
      </c>
      <c r="E3" s="24">
        <f>C3*$B$19*B3</f>
        <v>2.2568000000000001</v>
      </c>
      <c r="F3" s="27"/>
      <c r="G3" s="14"/>
    </row>
    <row r="4" spans="1:7" x14ac:dyDescent="0.25">
      <c r="A4" s="6" t="s">
        <v>4</v>
      </c>
      <c r="B4" s="3">
        <v>3000</v>
      </c>
      <c r="C4" s="25">
        <v>1.75</v>
      </c>
      <c r="D4" s="25">
        <f t="shared" ref="D4:D15" si="0">B4*C4</f>
        <v>5250</v>
      </c>
      <c r="E4" s="24">
        <f t="shared" ref="E4:E15" si="1">C4*$B$19*B4</f>
        <v>682.5</v>
      </c>
    </row>
    <row r="5" spans="1:7" x14ac:dyDescent="0.25">
      <c r="A5" s="6" t="s">
        <v>5</v>
      </c>
      <c r="B5" s="3">
        <v>40</v>
      </c>
      <c r="C5" s="25">
        <v>1.75</v>
      </c>
      <c r="D5" s="25">
        <f t="shared" si="0"/>
        <v>70</v>
      </c>
      <c r="E5" s="24">
        <f t="shared" si="1"/>
        <v>9.1</v>
      </c>
    </row>
    <row r="6" spans="1:7" x14ac:dyDescent="0.25">
      <c r="A6" s="6" t="s">
        <v>6</v>
      </c>
      <c r="B6" s="3">
        <v>753</v>
      </c>
      <c r="C6" s="25">
        <v>1.65</v>
      </c>
      <c r="D6" s="25">
        <f t="shared" si="0"/>
        <v>1242.45</v>
      </c>
      <c r="E6" s="24">
        <f t="shared" si="1"/>
        <v>161.51849999999999</v>
      </c>
    </row>
    <row r="7" spans="1:7" x14ac:dyDescent="0.25">
      <c r="A7" s="6" t="s">
        <v>7</v>
      </c>
      <c r="B7" s="3">
        <v>50</v>
      </c>
      <c r="C7" s="25">
        <v>5.67</v>
      </c>
      <c r="D7" s="25">
        <f t="shared" si="0"/>
        <v>283.5</v>
      </c>
      <c r="E7" s="24">
        <f t="shared" si="1"/>
        <v>36.854999999999997</v>
      </c>
    </row>
    <row r="8" spans="1:7" x14ac:dyDescent="0.25">
      <c r="A8" s="6" t="s">
        <v>8</v>
      </c>
      <c r="B8" s="3">
        <v>3212</v>
      </c>
      <c r="C8" s="25">
        <v>0.18</v>
      </c>
      <c r="D8" s="25">
        <f t="shared" si="0"/>
        <v>578.16</v>
      </c>
      <c r="E8" s="24">
        <f t="shared" si="1"/>
        <v>75.160800000000009</v>
      </c>
    </row>
    <row r="9" spans="1:7" x14ac:dyDescent="0.25">
      <c r="A9" s="6" t="s">
        <v>9</v>
      </c>
      <c r="B9" s="3">
        <v>4200</v>
      </c>
      <c r="C9" s="25">
        <v>0.08</v>
      </c>
      <c r="D9" s="25">
        <f t="shared" si="0"/>
        <v>336</v>
      </c>
      <c r="E9" s="24">
        <f t="shared" si="1"/>
        <v>43.680000000000007</v>
      </c>
    </row>
    <row r="10" spans="1:7" x14ac:dyDescent="0.25">
      <c r="A10" s="6" t="s">
        <v>10</v>
      </c>
      <c r="B10" s="4">
        <v>423</v>
      </c>
      <c r="C10" s="25">
        <v>1.68</v>
      </c>
      <c r="D10" s="25">
        <f t="shared" si="0"/>
        <v>710.64</v>
      </c>
      <c r="E10" s="24">
        <f t="shared" si="1"/>
        <v>92.383200000000002</v>
      </c>
    </row>
    <row r="11" spans="1:7" x14ac:dyDescent="0.25">
      <c r="A11" s="6" t="s">
        <v>11</v>
      </c>
      <c r="B11" s="3">
        <v>53</v>
      </c>
      <c r="C11" s="25">
        <v>2.5</v>
      </c>
      <c r="D11" s="25">
        <f t="shared" si="0"/>
        <v>132.5</v>
      </c>
      <c r="E11" s="24">
        <f t="shared" si="1"/>
        <v>17.225000000000001</v>
      </c>
    </row>
    <row r="12" spans="1:7" x14ac:dyDescent="0.25">
      <c r="A12" s="6" t="s">
        <v>12</v>
      </c>
      <c r="B12" s="3">
        <v>345</v>
      </c>
      <c r="C12" s="25">
        <v>2.5</v>
      </c>
      <c r="D12" s="25">
        <f t="shared" si="0"/>
        <v>862.5</v>
      </c>
      <c r="E12" s="24">
        <f t="shared" si="1"/>
        <v>112.125</v>
      </c>
    </row>
    <row r="13" spans="1:7" x14ac:dyDescent="0.25">
      <c r="A13" s="6" t="s">
        <v>13</v>
      </c>
      <c r="B13" s="3">
        <v>1500</v>
      </c>
      <c r="C13" s="25">
        <v>1.59</v>
      </c>
      <c r="D13" s="25">
        <f t="shared" si="0"/>
        <v>2385</v>
      </c>
      <c r="E13" s="24">
        <f t="shared" si="1"/>
        <v>310.05</v>
      </c>
    </row>
    <row r="14" spans="1:7" x14ac:dyDescent="0.25">
      <c r="A14" s="6" t="s">
        <v>14</v>
      </c>
      <c r="B14" s="3">
        <v>2000</v>
      </c>
      <c r="C14" s="25">
        <v>0.33</v>
      </c>
      <c r="D14" s="25">
        <f t="shared" si="0"/>
        <v>660</v>
      </c>
      <c r="E14" s="24">
        <f t="shared" si="1"/>
        <v>85.8</v>
      </c>
    </row>
    <row r="15" spans="1:7" ht="15.75" thickBot="1" x14ac:dyDescent="0.3">
      <c r="A15" s="7" t="s">
        <v>15</v>
      </c>
      <c r="B15" s="5">
        <v>3224</v>
      </c>
      <c r="C15" s="26">
        <v>0.33</v>
      </c>
      <c r="D15" s="26">
        <f t="shared" si="0"/>
        <v>1063.92</v>
      </c>
      <c r="E15" s="24">
        <f t="shared" si="1"/>
        <v>138.30959999999999</v>
      </c>
    </row>
    <row r="16" spans="1:7" ht="15.75" thickBot="1" x14ac:dyDescent="0.3">
      <c r="B16" s="1"/>
    </row>
    <row r="17" spans="1:8" ht="15.75" thickBot="1" x14ac:dyDescent="0.3">
      <c r="A17" s="10" t="s">
        <v>2</v>
      </c>
      <c r="B17" s="28">
        <f t="shared" ref="B17:D17" si="2">SUM(B3:B16)</f>
        <v>18924</v>
      </c>
      <c r="C17" s="28">
        <f t="shared" si="2"/>
        <v>20.149999999999995</v>
      </c>
      <c r="D17" s="28">
        <f t="shared" si="2"/>
        <v>13592.029999999999</v>
      </c>
      <c r="E17" s="28">
        <f>SUM(E3:E16)</f>
        <v>1766.9639</v>
      </c>
      <c r="F17" s="1"/>
    </row>
    <row r="18" spans="1:8" ht="15.75" thickBot="1" x14ac:dyDescent="0.3">
      <c r="F18" s="2">
        <f>D18*$B$19*C18</f>
        <v>0</v>
      </c>
    </row>
    <row r="19" spans="1:8" ht="15.75" thickBot="1" x14ac:dyDescent="0.3">
      <c r="A19" s="10" t="s">
        <v>20</v>
      </c>
      <c r="B19" s="29">
        <v>0.13</v>
      </c>
    </row>
    <row r="20" spans="1:8" x14ac:dyDescent="0.25">
      <c r="H20" s="2">
        <f>F20*$B$19*E20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uma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6">
        <v>1</v>
      </c>
      <c r="B1" s="17">
        <v>2</v>
      </c>
      <c r="C1" s="18">
        <v>3</v>
      </c>
    </row>
    <row r="2" spans="1:3" ht="19.5" x14ac:dyDescent="0.3">
      <c r="A2" s="19">
        <v>4</v>
      </c>
      <c r="B2" s="20">
        <v>5</v>
      </c>
      <c r="C2" s="21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alex1dique</cp:lastModifiedBy>
  <dcterms:created xsi:type="dcterms:W3CDTF">2012-09-10T21:52:02Z</dcterms:created>
  <dcterms:modified xsi:type="dcterms:W3CDTF">2022-09-23T21:33:41Z</dcterms:modified>
</cp:coreProperties>
</file>